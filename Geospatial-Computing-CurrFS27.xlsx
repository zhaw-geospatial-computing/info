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8_{03DA9A92-BBF2-4B10-B915-2A275C70E5A4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Wochenprogramm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21" i="1" l="1"/>
  <c r="N21" i="1"/>
  <c r="L21" i="1"/>
  <c r="K21" i="1"/>
  <c r="J21" i="1"/>
  <c r="Q21" i="1"/>
  <c r="M21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R21" i="1"/>
  <c r="O21" i="1" l="1"/>
  <c r="S21" i="1"/>
</calcChain>
</file>

<file path=xl/sharedStrings.xml><?xml version="1.0" encoding="utf-8"?>
<sst xmlns="http://schemas.openxmlformats.org/spreadsheetml/2006/main" count="88" uniqueCount="66">
  <si>
    <t>W#</t>
  </si>
  <si>
    <t>Date</t>
  </si>
  <si>
    <t>CW</t>
  </si>
  <si>
    <t>Block</t>
  </si>
  <si>
    <t>Lecturer</t>
  </si>
  <si>
    <t>Subtitle</t>
  </si>
  <si>
    <t>Theory</t>
  </si>
  <si>
    <t>Seminar / Group Work</t>
  </si>
  <si>
    <t>Labs / Exercises</t>
  </si>
  <si>
    <t>Kontakt</t>
  </si>
  <si>
    <t>ASS</t>
  </si>
  <si>
    <t>BSS</t>
  </si>
  <si>
    <t>Total</t>
  </si>
  <si>
    <t>rata</t>
  </si>
  <si>
    <t>murj</t>
  </si>
  <si>
    <t>rahn</t>
  </si>
  <si>
    <t>SumHrs</t>
  </si>
  <si>
    <t>SumCHF</t>
  </si>
  <si>
    <t xml:space="preserve">Introduction </t>
  </si>
  <si>
    <t>Module Introduction.</t>
  </si>
  <si>
    <t>course overview &amp; structure, what is geospatial computing, CRS &amp; projections recap</t>
  </si>
  <si>
    <t xml:space="preserve">toolchain setup (R, QGIS, RStudio/Positron), first test script </t>
  </si>
  <si>
    <t>Terrain &amp; Water</t>
  </si>
  <si>
    <t>Raster Data Fundamentals</t>
  </si>
  <si>
    <t>Recap on raster data model. Dive into spatial resolution, map algebra, MCA</t>
  </si>
  <si>
    <t>loading rasters in R/QGIS, basic raster operations</t>
  </si>
  <si>
    <t>Terrain Analysis &amp; Hydrological Modelling</t>
  </si>
  <si>
    <t>DEM sources &amp; quality, terrain derivatives (hillshade/slope/aspect), D8 flow direction algorithm, watershed concepts</t>
  </si>
  <si>
    <t xml:space="preserve">terrain function workflow, watershed delineation in QGIS/R  </t>
  </si>
  <si>
    <t>Spatial Ecology &amp; Occurrence</t>
  </si>
  <si>
    <t>From Observations to Spatial Data</t>
  </si>
  <si>
    <t>point data structure, data sources (GBIF, iNaturalist, camera traps), coordinate uncertainty, sampling bias</t>
  </si>
  <si>
    <t>accessing GBIF via API in R, mapping and filtering occurrence data</t>
  </si>
  <si>
    <t>Spatial Patterns in Point Data</t>
  </si>
  <si>
    <t>KDE (bandwidth, kernel function), IDW (power parameter, distance decay)</t>
  </si>
  <si>
    <t>computing KDE &amp; IDW in R/QGIS, comparing outputs with different parameters</t>
  </si>
  <si>
    <t>Paths &amp; Flows</t>
  </si>
  <si>
    <t>Networks &amp; Graph Theory</t>
  </si>
  <si>
    <t>graph theory basics (nodes, edges, directed/undirected), centrality measures</t>
  </si>
  <si>
    <t xml:space="preserve">loading OSM network data, computing centrality with sfnetworks in R </t>
  </si>
  <si>
    <t>Routing &amp; Accessibility Analysis</t>
  </si>
  <si>
    <t xml:space="preserve">Dijkstra's algorithm, isochrone concepts, accessibility measures </t>
  </si>
  <si>
    <t>Implementing Dijkstra «by hand»</t>
  </si>
  <si>
    <t xml:space="preserve">computing shortest paths &amp; isochrones in R </t>
  </si>
  <si>
    <t>Semester Project</t>
  </si>
  <si>
    <t>Introduction &amp; Topic Finding</t>
  </si>
  <si>
    <t>project brief, deliverables, assessment criteria, what makes a good research question</t>
  </si>
  <si>
    <t>topic-finding workshop — students pitch ideas, get peer and lecturer feedback</t>
  </si>
  <si>
    <t>-</t>
  </si>
  <si>
    <t>Workflow Automation</t>
  </si>
  <si>
    <t>reproducibility concepts, what makes a good workflow, when to use GUI vs. Scripting</t>
  </si>
  <si>
    <t>building a model in QGIS Graphical Modeler, running batch processing on new data</t>
  </si>
  <si>
    <t>Webmapping in the Opensource Ecosystem</t>
  </si>
  <si>
    <t>what is web mapping, server vs. client-side, web-friendly formats, performance challenges with large datasets</t>
  </si>
  <si>
    <t>converting data to GeoJSON, publishing a webmap (QGIS Cloud or equivalent)</t>
  </si>
  <si>
    <t>Uncertainty in Geodata</t>
  </si>
  <si>
    <t xml:space="preserve">types of uncertainty (positional, attribute, completeness), error propagation, Monte Carlo basics </t>
  </si>
  <si>
    <t>monte carlo to calculate Pi</t>
  </si>
  <si>
    <t>routing sensitivity analysis — vary edge weights, compare isochrone results</t>
  </si>
  <si>
    <t>Rata / murj / rahn</t>
  </si>
  <si>
    <t>Coaching Sessions</t>
  </si>
  <si>
    <t xml:space="preserve">students present their research question, data, and planned methods — lecturers and peers give feedback </t>
  </si>
  <si>
    <t>Murj / rahn</t>
  </si>
  <si>
    <t>Guided self study</t>
  </si>
  <si>
    <t>project work (lecturers present for questions)</t>
  </si>
  <si>
    <t>Prüfung (50%)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</si>
</sst>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FF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0.39988402966399123"/>
        <bgColor rgb="FFC5E0B4"/>
      </patternFill>
    </fill>
    <fill>
      <patternFill patternType="solid">
        <fgColor theme="9" tint="-0.249977111117893"/>
        <bgColor rgb="FF339966"/>
      </patternFill>
    </fill>
    <fill>
      <patternFill patternType="solid">
        <fgColor theme="9" tint="0.79989013336588644"/>
        <bgColor rgb="FFFBE5D6"/>
      </patternFill>
    </fill>
    <fill>
      <patternFill patternType="solid">
        <fgColor theme="9" tint="0.59987182226020086"/>
        <bgColor rgb="FFA9D18E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3" borderId="0" xfId="0" applyFill="1" applyAlignment="1">
      <alignment horizontal="left" vertical="top"/>
    </xf>
    <xf numFmtId="14" fontId="0" fillId="0" borderId="0" xfId="0" applyNumberFormat="1" applyAlignment="1">
      <alignment horizontal="left" vertical="top"/>
    </xf>
    <xf numFmtId="49" fontId="1" fillId="0" borderId="0" xfId="0" applyNumberFormat="1" applyFont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2" fontId="0" fillId="0" borderId="0" xfId="0" applyNumberFormat="1" applyAlignment="1">
      <alignment horizontal="right" vertical="top"/>
    </xf>
    <xf numFmtId="2" fontId="0" fillId="4" borderId="0" xfId="0" applyNumberFormat="1" applyFill="1" applyAlignment="1">
      <alignment horizontal="right" vertical="top"/>
    </xf>
    <xf numFmtId="2" fontId="0" fillId="5" borderId="0" xfId="0" applyNumberFormat="1" applyFill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2" fontId="2" fillId="0" borderId="1" xfId="0" applyNumberFormat="1" applyFont="1" applyBorder="1" applyAlignment="1">
      <alignment horizontal="right" vertical="top"/>
    </xf>
    <xf numFmtId="2" fontId="1" fillId="5" borderId="1" xfId="0" applyNumberFormat="1" applyFont="1" applyFill="1" applyBorder="1" applyAlignment="1">
      <alignment horizontal="right" vertical="top"/>
    </xf>
    <xf numFmtId="0" fontId="0" fillId="0" borderId="2" xfId="0" applyBorder="1" applyAlignment="1">
      <alignment horizontal="left" vertical="top"/>
    </xf>
    <xf numFmtId="14" fontId="0" fillId="0" borderId="2" xfId="0" applyNumberFormat="1" applyBorder="1" applyAlignment="1">
      <alignment horizontal="left" vertical="top"/>
    </xf>
    <xf numFmtId="49" fontId="1" fillId="0" borderId="2" xfId="0" applyNumberFormat="1" applyFont="1" applyBorder="1" applyAlignment="1">
      <alignment horizontal="left" vertical="top" wrapText="1"/>
    </xf>
    <xf numFmtId="49" fontId="0" fillId="0" borderId="2" xfId="0" applyNumberFormat="1" applyBorder="1" applyAlignment="1">
      <alignment horizontal="left" vertical="top" wrapText="1"/>
    </xf>
    <xf numFmtId="2" fontId="0" fillId="0" borderId="2" xfId="0" applyNumberFormat="1" applyBorder="1" applyAlignment="1">
      <alignment horizontal="right" vertical="top"/>
    </xf>
    <xf numFmtId="2" fontId="0" fillId="4" borderId="2" xfId="0" applyNumberFormat="1" applyFill="1" applyBorder="1" applyAlignment="1">
      <alignment horizontal="right" vertical="top"/>
    </xf>
    <xf numFmtId="2" fontId="0" fillId="5" borderId="2" xfId="0" applyNumberFormat="1" applyFill="1" applyBorder="1" applyAlignment="1">
      <alignment horizontal="right" vertical="top"/>
    </xf>
    <xf numFmtId="0" fontId="0" fillId="0" borderId="2" xfId="0" applyBorder="1"/>
    <xf numFmtId="0" fontId="0" fillId="0" borderId="2" xfId="0" applyBorder="1" applyAlignment="1">
      <alignment horizontal="left" vertical="top" wrapText="1"/>
    </xf>
    <xf numFmtId="49" fontId="1" fillId="0" borderId="0" xfId="0" applyNumberFormat="1" applyFont="1" applyAlignment="1">
      <alignment horizontal="left" vertical="center" wrapText="1"/>
    </xf>
    <xf numFmtId="49" fontId="1" fillId="0" borderId="2" xfId="0" applyNumberFormat="1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A9D18E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35"/>
  <sheetViews>
    <sheetView tabSelected="1" zoomScale="120" zoomScaleNormal="120" workbookViewId="0">
      <selection activeCell="I17" sqref="I17"/>
    </sheetView>
  </sheetViews>
  <sheetFormatPr defaultColWidth="11.5703125" defaultRowHeight="15"/>
  <cols>
    <col min="1" max="1" width="4.140625" style="2" customWidth="1"/>
    <col min="2" max="2" width="12.7109375" style="2" customWidth="1"/>
    <col min="3" max="3" width="4.7109375" style="2" customWidth="1"/>
    <col min="4" max="4" width="32.85546875" style="2" customWidth="1"/>
    <col min="5" max="5" width="10.42578125" style="2" customWidth="1"/>
    <col min="6" max="6" width="24.5703125" style="3" customWidth="1"/>
    <col min="7" max="9" width="28.5703125" style="3" customWidth="1"/>
    <col min="10" max="14" width="9.28515625" style="2" customWidth="1"/>
    <col min="15" max="15" width="10.7109375" style="2" customWidth="1"/>
    <col min="16" max="19" width="9.28515625" style="2" customWidth="1"/>
    <col min="25" max="16381" width="11.5703125" style="2"/>
    <col min="16382" max="16383" width="10.140625" customWidth="1"/>
    <col min="16384" max="16384" width="10.140625" style="2" customWidth="1"/>
  </cols>
  <sheetData>
    <row r="1" spans="1:24 16382:16383" ht="16.149999999999999">
      <c r="A1" s="2" t="s">
        <v>0</v>
      </c>
      <c r="B1" s="2" t="s">
        <v>1</v>
      </c>
      <c r="C1" s="2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5" t="s">
        <v>13</v>
      </c>
      <c r="O1" s="5" t="s">
        <v>14</v>
      </c>
      <c r="P1" s="5" t="s">
        <v>15</v>
      </c>
      <c r="Q1" s="5"/>
      <c r="R1" s="6" t="s">
        <v>16</v>
      </c>
      <c r="S1" s="6" t="s">
        <v>17</v>
      </c>
    </row>
    <row r="2" spans="1:24 16382:16383" s="16" customFormat="1" ht="45.75">
      <c r="A2" s="16">
        <v>1</v>
      </c>
      <c r="B2" s="17">
        <v>46281</v>
      </c>
      <c r="C2" s="16">
        <v>38</v>
      </c>
      <c r="D2" s="18" t="s">
        <v>18</v>
      </c>
      <c r="E2" s="18" t="s">
        <v>13</v>
      </c>
      <c r="F2" s="19" t="s">
        <v>19</v>
      </c>
      <c r="G2" s="19" t="s">
        <v>20</v>
      </c>
      <c r="H2" s="19"/>
      <c r="I2" s="19" t="s">
        <v>21</v>
      </c>
      <c r="J2" s="20"/>
      <c r="K2" s="20"/>
      <c r="L2" s="20"/>
      <c r="M2" s="20"/>
      <c r="N2" s="21"/>
      <c r="O2" s="21"/>
      <c r="P2" s="21"/>
      <c r="Q2" s="21"/>
      <c r="R2" s="22"/>
      <c r="S2" s="22"/>
      <c r="T2" s="23"/>
      <c r="U2" s="23"/>
      <c r="V2" s="23"/>
      <c r="W2" s="23"/>
      <c r="X2" s="23"/>
      <c r="XFB2" s="23"/>
      <c r="XFC2" s="23"/>
    </row>
    <row r="3" spans="1:24 16382:16383" ht="53.25" customHeight="1">
      <c r="A3" s="2">
        <v>2</v>
      </c>
      <c r="B3" s="7">
        <f>B2+7</f>
        <v>46288</v>
      </c>
      <c r="C3" s="2">
        <v>39</v>
      </c>
      <c r="D3" s="25" t="s">
        <v>22</v>
      </c>
      <c r="E3" s="25" t="s">
        <v>14</v>
      </c>
      <c r="F3" s="3" t="s">
        <v>23</v>
      </c>
      <c r="G3" s="9" t="s">
        <v>24</v>
      </c>
      <c r="H3" s="9"/>
      <c r="I3" s="9" t="s">
        <v>25</v>
      </c>
      <c r="J3" s="10"/>
      <c r="K3" s="10"/>
      <c r="L3" s="10"/>
      <c r="M3" s="10"/>
      <c r="N3" s="11"/>
      <c r="O3" s="11"/>
      <c r="P3" s="11"/>
      <c r="Q3" s="11"/>
      <c r="R3" s="12"/>
      <c r="S3" s="12"/>
    </row>
    <row r="4" spans="1:24 16382:16383" s="16" customFormat="1" ht="77.849999999999994" customHeight="1">
      <c r="A4" s="16">
        <v>3</v>
      </c>
      <c r="B4" s="17">
        <f>B3+7</f>
        <v>46295</v>
      </c>
      <c r="C4" s="16">
        <v>40</v>
      </c>
      <c r="D4" s="26"/>
      <c r="E4" s="26"/>
      <c r="F4" s="19" t="s">
        <v>26</v>
      </c>
      <c r="G4" s="19" t="s">
        <v>27</v>
      </c>
      <c r="H4" s="19"/>
      <c r="I4" s="19" t="s">
        <v>28</v>
      </c>
      <c r="J4" s="20"/>
      <c r="K4" s="20"/>
      <c r="L4" s="20"/>
      <c r="M4" s="20"/>
      <c r="N4" s="21"/>
      <c r="O4" s="21"/>
      <c r="P4" s="21"/>
      <c r="Q4" s="21"/>
      <c r="R4" s="22"/>
      <c r="S4" s="22"/>
      <c r="T4" s="23"/>
      <c r="U4" s="23"/>
      <c r="V4" s="23"/>
      <c r="W4" s="23"/>
      <c r="X4" s="23"/>
      <c r="XFB4" s="23"/>
      <c r="XFC4" s="23"/>
    </row>
    <row r="5" spans="1:24 16382:16383" ht="46.35" customHeight="1">
      <c r="A5" s="2">
        <v>4</v>
      </c>
      <c r="B5" s="7">
        <f>B4+7</f>
        <v>46302</v>
      </c>
      <c r="C5" s="2">
        <v>41</v>
      </c>
      <c r="D5" s="29" t="s">
        <v>29</v>
      </c>
      <c r="E5" s="31" t="s">
        <v>15</v>
      </c>
      <c r="F5" s="9" t="s">
        <v>30</v>
      </c>
      <c r="G5" s="9" t="s">
        <v>31</v>
      </c>
      <c r="H5" s="9"/>
      <c r="I5" s="9" t="s">
        <v>32</v>
      </c>
      <c r="J5" s="10"/>
      <c r="K5" s="10"/>
      <c r="L5" s="10"/>
      <c r="M5" s="10"/>
      <c r="N5" s="11"/>
      <c r="O5" s="11"/>
      <c r="P5" s="11"/>
      <c r="Q5" s="11"/>
      <c r="R5" s="12"/>
      <c r="S5" s="12"/>
    </row>
    <row r="6" spans="1:24 16382:16383" s="16" customFormat="1" ht="45.95">
      <c r="A6" s="16">
        <v>5</v>
      </c>
      <c r="B6" s="17">
        <f>B5+7</f>
        <v>46309</v>
      </c>
      <c r="C6" s="16">
        <v>42</v>
      </c>
      <c r="D6" s="30"/>
      <c r="E6" s="32"/>
      <c r="F6" s="19" t="s">
        <v>33</v>
      </c>
      <c r="G6" s="19" t="s">
        <v>34</v>
      </c>
      <c r="H6" s="19"/>
      <c r="I6" s="24" t="s">
        <v>35</v>
      </c>
      <c r="J6" s="20"/>
      <c r="K6" s="20"/>
      <c r="L6" s="20"/>
      <c r="M6" s="20"/>
      <c r="N6" s="21"/>
      <c r="O6" s="21"/>
      <c r="P6" s="21"/>
      <c r="Q6" s="21"/>
      <c r="R6" s="22"/>
      <c r="S6" s="22"/>
      <c r="T6" s="23"/>
      <c r="U6" s="23"/>
      <c r="V6" s="23"/>
      <c r="W6" s="23"/>
      <c r="X6" s="23"/>
      <c r="XFB6" s="23"/>
      <c r="XFC6" s="23"/>
    </row>
    <row r="7" spans="1:24 16382:16383" ht="45.75">
      <c r="A7" s="2">
        <v>6</v>
      </c>
      <c r="B7" s="7">
        <f>B6+7</f>
        <v>46316</v>
      </c>
      <c r="C7" s="2">
        <v>43</v>
      </c>
      <c r="D7" s="31" t="s">
        <v>36</v>
      </c>
      <c r="E7" s="31" t="s">
        <v>13</v>
      </c>
      <c r="F7" s="3" t="s">
        <v>37</v>
      </c>
      <c r="G7" s="3" t="s">
        <v>38</v>
      </c>
      <c r="I7" s="3" t="s">
        <v>39</v>
      </c>
      <c r="J7" s="10"/>
      <c r="K7" s="10"/>
      <c r="L7" s="10"/>
      <c r="M7" s="10"/>
      <c r="N7" s="11"/>
      <c r="O7" s="11"/>
      <c r="P7" s="11"/>
      <c r="Q7" s="11"/>
      <c r="R7" s="12"/>
      <c r="S7" s="12"/>
    </row>
    <row r="8" spans="1:24 16382:16383" s="16" customFormat="1" ht="31.15">
      <c r="A8" s="16">
        <v>7</v>
      </c>
      <c r="B8" s="17">
        <f>B7+7</f>
        <v>46323</v>
      </c>
      <c r="C8" s="16">
        <v>44</v>
      </c>
      <c r="D8" s="32"/>
      <c r="E8" s="32"/>
      <c r="F8" s="24" t="s">
        <v>40</v>
      </c>
      <c r="G8" s="24" t="s">
        <v>41</v>
      </c>
      <c r="H8" s="24" t="s">
        <v>42</v>
      </c>
      <c r="I8" s="24" t="s">
        <v>43</v>
      </c>
      <c r="J8" s="20"/>
      <c r="K8" s="20"/>
      <c r="L8" s="20"/>
      <c r="M8" s="20"/>
      <c r="N8" s="21"/>
      <c r="O8" s="21"/>
      <c r="P8" s="21"/>
      <c r="Q8" s="21"/>
      <c r="R8" s="22"/>
      <c r="S8" s="22"/>
      <c r="T8" s="23"/>
      <c r="U8" s="23"/>
      <c r="V8" s="23"/>
      <c r="W8" s="23"/>
      <c r="X8" s="23"/>
      <c r="XFB8" s="23"/>
      <c r="XFC8" s="23"/>
    </row>
    <row r="9" spans="1:24 16382:16383" s="16" customFormat="1" ht="61.15">
      <c r="A9" s="16">
        <v>8</v>
      </c>
      <c r="B9" s="17">
        <f>B8+7</f>
        <v>46330</v>
      </c>
      <c r="C9" s="16">
        <v>45</v>
      </c>
      <c r="D9" s="18" t="s">
        <v>44</v>
      </c>
      <c r="E9" s="18" t="s">
        <v>13</v>
      </c>
      <c r="F9" s="24" t="s">
        <v>45</v>
      </c>
      <c r="G9" s="24" t="s">
        <v>46</v>
      </c>
      <c r="H9" s="24" t="s">
        <v>47</v>
      </c>
      <c r="I9" s="24" t="s">
        <v>48</v>
      </c>
      <c r="J9" s="20"/>
      <c r="K9" s="20"/>
      <c r="L9" s="20"/>
      <c r="M9" s="20"/>
      <c r="N9" s="21"/>
      <c r="O9" s="21"/>
      <c r="P9" s="21"/>
      <c r="Q9" s="21"/>
      <c r="R9" s="22"/>
      <c r="S9" s="22"/>
      <c r="T9" s="23"/>
      <c r="U9" s="23"/>
      <c r="V9" s="23"/>
      <c r="W9" s="23"/>
      <c r="X9" s="23"/>
      <c r="XFB9" s="23"/>
      <c r="XFC9" s="23"/>
    </row>
    <row r="10" spans="1:24 16382:16383" s="16" customFormat="1" ht="45.95">
      <c r="A10" s="16">
        <v>9</v>
      </c>
      <c r="B10" s="17">
        <f>B9+7</f>
        <v>46337</v>
      </c>
      <c r="C10" s="16">
        <v>46</v>
      </c>
      <c r="D10" s="18" t="s">
        <v>22</v>
      </c>
      <c r="E10" s="18" t="s">
        <v>14</v>
      </c>
      <c r="F10" s="24" t="s">
        <v>49</v>
      </c>
      <c r="G10" s="24" t="s">
        <v>50</v>
      </c>
      <c r="H10" s="24"/>
      <c r="I10" s="24" t="s">
        <v>51</v>
      </c>
      <c r="J10" s="20"/>
      <c r="K10" s="20"/>
      <c r="L10" s="20"/>
      <c r="M10" s="20"/>
      <c r="N10" s="21"/>
      <c r="O10" s="21"/>
      <c r="P10" s="21"/>
      <c r="Q10" s="21"/>
      <c r="R10" s="22"/>
      <c r="S10" s="22"/>
      <c r="T10" s="23"/>
      <c r="U10" s="23"/>
      <c r="V10" s="23"/>
      <c r="W10" s="23"/>
      <c r="X10" s="23"/>
      <c r="XFB10" s="23"/>
      <c r="XFC10" s="23"/>
    </row>
    <row r="11" spans="1:24 16382:16383" s="16" customFormat="1" ht="61.15">
      <c r="A11" s="16">
        <v>10</v>
      </c>
      <c r="B11" s="17">
        <f>B10+7</f>
        <v>46344</v>
      </c>
      <c r="C11" s="16">
        <v>47</v>
      </c>
      <c r="D11" s="18" t="s">
        <v>29</v>
      </c>
      <c r="E11" s="18" t="s">
        <v>15</v>
      </c>
      <c r="F11" s="24" t="s">
        <v>52</v>
      </c>
      <c r="G11" s="24" t="s">
        <v>53</v>
      </c>
      <c r="H11" s="24"/>
      <c r="I11" s="24" t="s">
        <v>54</v>
      </c>
      <c r="J11" s="20"/>
      <c r="K11" s="20"/>
      <c r="L11" s="20"/>
      <c r="M11" s="20"/>
      <c r="N11" s="21"/>
      <c r="O11" s="21"/>
      <c r="P11" s="21"/>
      <c r="Q11" s="21"/>
      <c r="R11" s="22"/>
      <c r="S11" s="22"/>
      <c r="T11" s="23"/>
      <c r="U11" s="23"/>
      <c r="V11" s="23"/>
      <c r="W11" s="23"/>
      <c r="X11" s="23"/>
      <c r="XFB11" s="23"/>
      <c r="XFC11" s="23"/>
    </row>
    <row r="12" spans="1:24 16382:16383" s="16" customFormat="1" ht="61.15">
      <c r="A12" s="16">
        <v>11</v>
      </c>
      <c r="B12" s="17">
        <f>B11+7</f>
        <v>46351</v>
      </c>
      <c r="C12" s="16">
        <v>48</v>
      </c>
      <c r="D12" s="18" t="s">
        <v>36</v>
      </c>
      <c r="E12" s="18" t="s">
        <v>13</v>
      </c>
      <c r="F12" s="24" t="s">
        <v>55</v>
      </c>
      <c r="G12" s="24" t="s">
        <v>56</v>
      </c>
      <c r="H12" s="24" t="s">
        <v>57</v>
      </c>
      <c r="I12" s="24" t="s">
        <v>58</v>
      </c>
      <c r="J12" s="20"/>
      <c r="K12" s="20"/>
      <c r="L12" s="20"/>
      <c r="M12" s="20"/>
      <c r="N12" s="21"/>
      <c r="O12" s="21"/>
      <c r="P12" s="21"/>
      <c r="Q12" s="21"/>
      <c r="R12" s="22"/>
      <c r="S12" s="22"/>
      <c r="T12" s="23"/>
      <c r="U12" s="23"/>
      <c r="V12" s="23"/>
      <c r="W12" s="23"/>
      <c r="X12" s="23"/>
      <c r="XFB12" s="23"/>
      <c r="XFC12" s="23"/>
    </row>
    <row r="13" spans="1:24 16382:16383" ht="76.150000000000006" customHeight="1">
      <c r="A13" s="2">
        <v>12</v>
      </c>
      <c r="B13" s="7">
        <f>B12+7</f>
        <v>46358</v>
      </c>
      <c r="C13" s="2">
        <v>49</v>
      </c>
      <c r="D13" s="25" t="s">
        <v>44</v>
      </c>
      <c r="E13" s="8" t="s">
        <v>59</v>
      </c>
      <c r="F13" s="3" t="s">
        <v>60</v>
      </c>
      <c r="G13" s="3" t="s">
        <v>48</v>
      </c>
      <c r="H13" s="3" t="s">
        <v>61</v>
      </c>
      <c r="I13" s="3" t="s">
        <v>48</v>
      </c>
      <c r="J13" s="10"/>
      <c r="K13" s="10"/>
      <c r="L13" s="10"/>
      <c r="M13" s="10"/>
      <c r="N13" s="11"/>
      <c r="O13" s="11"/>
      <c r="P13" s="11"/>
      <c r="Q13" s="11"/>
      <c r="R13" s="12"/>
      <c r="S13" s="12"/>
    </row>
    <row r="14" spans="1:24 16382:16383" ht="30.95" customHeight="1">
      <c r="A14" s="2">
        <v>13</v>
      </c>
      <c r="B14" s="7">
        <f>B13+7</f>
        <v>46365</v>
      </c>
      <c r="C14" s="2">
        <v>50</v>
      </c>
      <c r="D14" s="25" t="s">
        <v>44</v>
      </c>
      <c r="E14" s="8" t="s">
        <v>62</v>
      </c>
      <c r="F14" s="27" t="s">
        <v>63</v>
      </c>
      <c r="G14" s="1" t="s">
        <v>48</v>
      </c>
      <c r="H14" s="27" t="s">
        <v>64</v>
      </c>
      <c r="I14" s="3" t="s">
        <v>48</v>
      </c>
      <c r="J14" s="10"/>
      <c r="K14" s="10"/>
      <c r="L14" s="10"/>
      <c r="M14" s="10"/>
      <c r="N14" s="11"/>
      <c r="O14" s="11"/>
      <c r="P14" s="11"/>
      <c r="Q14" s="11"/>
      <c r="R14" s="12"/>
      <c r="S14" s="12"/>
    </row>
    <row r="15" spans="1:24 16382:16383" s="16" customFormat="1" ht="30.75">
      <c r="A15" s="16">
        <v>14</v>
      </c>
      <c r="B15" s="17">
        <f>B14+7</f>
        <v>46372</v>
      </c>
      <c r="C15" s="16">
        <v>51</v>
      </c>
      <c r="D15" s="26" t="s">
        <v>44</v>
      </c>
      <c r="E15" s="18" t="s">
        <v>62</v>
      </c>
      <c r="F15" s="28" t="s">
        <v>63</v>
      </c>
      <c r="G15" s="24" t="s">
        <v>48</v>
      </c>
      <c r="H15" s="28"/>
      <c r="I15" s="24" t="s">
        <v>48</v>
      </c>
      <c r="J15" s="20"/>
      <c r="K15" s="20"/>
      <c r="L15" s="20"/>
      <c r="M15" s="20"/>
      <c r="N15" s="21"/>
      <c r="O15" s="21"/>
      <c r="P15" s="21"/>
      <c r="Q15" s="21"/>
      <c r="R15" s="22"/>
      <c r="S15" s="22"/>
      <c r="T15" s="23"/>
      <c r="U15" s="23"/>
      <c r="V15" s="23"/>
      <c r="W15" s="23"/>
      <c r="X15" s="23"/>
      <c r="XFB15" s="23"/>
      <c r="XFC15" s="23"/>
    </row>
    <row r="16" spans="1:24 16382:16383">
      <c r="B16" s="7"/>
      <c r="D16" s="8"/>
      <c r="E16" s="8"/>
      <c r="J16" s="10"/>
      <c r="K16" s="10"/>
      <c r="L16" s="10"/>
      <c r="M16" s="10"/>
      <c r="N16" s="11"/>
      <c r="O16" s="11"/>
      <c r="P16" s="11"/>
      <c r="Q16" s="11"/>
      <c r="R16" s="12"/>
      <c r="S16" s="12"/>
    </row>
    <row r="17" spans="2:19">
      <c r="B17" s="7"/>
      <c r="D17" s="8"/>
      <c r="E17" s="8"/>
      <c r="J17" s="10"/>
      <c r="K17" s="10"/>
      <c r="L17" s="10"/>
      <c r="M17" s="10"/>
      <c r="N17" s="11"/>
      <c r="O17" s="11"/>
      <c r="P17" s="11"/>
      <c r="Q17" s="11"/>
      <c r="R17" s="12"/>
      <c r="S17" s="12"/>
    </row>
    <row r="18" spans="2:19">
      <c r="B18" s="7"/>
      <c r="D18" s="8"/>
      <c r="E18" s="8"/>
      <c r="J18" s="10"/>
      <c r="K18" s="10"/>
      <c r="L18" s="10"/>
      <c r="M18" s="10"/>
      <c r="N18" s="11"/>
      <c r="O18" s="11"/>
      <c r="P18" s="11"/>
      <c r="Q18" s="11"/>
      <c r="R18" s="12"/>
      <c r="S18" s="12"/>
    </row>
    <row r="19" spans="2:19">
      <c r="B19" s="7"/>
      <c r="D19" s="8"/>
      <c r="E19" s="8"/>
      <c r="J19" s="10"/>
      <c r="K19" s="10"/>
      <c r="L19" s="10"/>
      <c r="M19" s="10"/>
      <c r="N19" s="11"/>
      <c r="O19" s="11"/>
      <c r="P19" s="11"/>
      <c r="Q19" s="11"/>
      <c r="R19" s="12"/>
      <c r="S19" s="12"/>
    </row>
    <row r="20" spans="2:19" ht="17.25" customHeight="1">
      <c r="D20" s="8" t="s">
        <v>65</v>
      </c>
      <c r="E20" s="8"/>
      <c r="F20" s="9"/>
      <c r="G20" s="9"/>
      <c r="H20" s="9"/>
      <c r="I20" s="9"/>
      <c r="J20" s="10"/>
      <c r="K20" s="10"/>
      <c r="L20" s="10"/>
      <c r="M20" s="10"/>
      <c r="N20" s="11"/>
      <c r="O20" s="11"/>
      <c r="P20" s="11"/>
      <c r="Q20" s="11"/>
      <c r="R20" s="12"/>
      <c r="S20" s="12"/>
    </row>
    <row r="21" spans="2:19">
      <c r="B21" s="7"/>
      <c r="J21" s="13">
        <f>SUM(J2:J20)</f>
        <v>0</v>
      </c>
      <c r="K21" s="13">
        <f>SUM(K2:K20)</f>
        <v>0</v>
      </c>
      <c r="L21" s="13">
        <f>SUM(L2:L20)</f>
        <v>0</v>
      </c>
      <c r="M21" s="13">
        <f>SUM(M2:M20)</f>
        <v>0</v>
      </c>
      <c r="N21" s="14">
        <f>SUM(N2:N20)</f>
        <v>0</v>
      </c>
      <c r="O21" s="13">
        <f>SUM(O2:O20)</f>
        <v>0</v>
      </c>
      <c r="P21" s="14">
        <f>SUM(P2:P20)</f>
        <v>0</v>
      </c>
      <c r="Q21" s="13">
        <f>SUM(Q2:Q20)</f>
        <v>0</v>
      </c>
      <c r="R21" s="15">
        <f>SUM(R2:R20)</f>
        <v>0</v>
      </c>
      <c r="S21" s="15">
        <f>SUM(S2:S20)</f>
        <v>0</v>
      </c>
    </row>
    <row r="22" spans="2:19">
      <c r="B22" s="7"/>
    </row>
    <row r="27" spans="2:19" ht="18" customHeight="1"/>
    <row r="28" spans="2:19" ht="18" customHeight="1"/>
    <row r="29" spans="2:19" ht="18" customHeight="1"/>
    <row r="30" spans="2:19" ht="18" customHeight="1"/>
    <row r="31" spans="2:19" ht="18" customHeight="1"/>
    <row r="32" spans="2:19" ht="18" customHeight="1"/>
    <row r="33" ht="18" customHeight="1"/>
    <row r="34" ht="18" customHeight="1"/>
    <row r="35" ht="18" customHeight="1"/>
  </sheetData>
  <mergeCells count="9">
    <mergeCell ref="D13:D15"/>
    <mergeCell ref="F14:F15"/>
    <mergeCell ref="H14:H15"/>
    <mergeCell ref="D3:D4"/>
    <mergeCell ref="E3:E4"/>
    <mergeCell ref="D5:D6"/>
    <mergeCell ref="E5:E6"/>
    <mergeCell ref="D7:D8"/>
    <mergeCell ref="E7:E8"/>
  </mergeCells>
  <pageMargins left="0.7" right="0.7" top="0.78749999999999998" bottom="0.78749999999999998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4b210d-5338-4194-bf4f-710acaf65af0" xsi:nil="true"/>
    <lcf76f155ced4ddcb4097134ff3c332f xmlns="1ce4a968-39c4-4787-8cb0-32e1a1b2902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53183FDDDFFD84F94C9B78C3742B3CA" ma:contentTypeVersion="11" ma:contentTypeDescription="Ein neues Dokument erstellen." ma:contentTypeScope="" ma:versionID="fe5228850821817492e1b079e26ae6a8">
  <xsd:schema xmlns:xsd="http://www.w3.org/2001/XMLSchema" xmlns:xs="http://www.w3.org/2001/XMLSchema" xmlns:p="http://schemas.microsoft.com/office/2006/metadata/properties" xmlns:ns2="1ce4a968-39c4-4787-8cb0-32e1a1b2902c" xmlns:ns3="9c4b210d-5338-4194-bf4f-710acaf65af0" targetNamespace="http://schemas.microsoft.com/office/2006/metadata/properties" ma:root="true" ma:fieldsID="588a8d7ef1ed6b2189b069624bf839dc" ns2:_="" ns3:_="">
    <xsd:import namespace="1ce4a968-39c4-4787-8cb0-32e1a1b2902c"/>
    <xsd:import namespace="9c4b210d-5338-4194-bf4f-710acaf65a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e4a968-39c4-4787-8cb0-32e1a1b290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ildmarkierungen" ma:readOnly="false" ma:fieldId="{5cf76f15-5ced-4ddc-b409-7134ff3c332f}" ma:taxonomyMulti="true" ma:sspId="19e3ed14-352d-4aa2-a63b-0b06d7ab5f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4b210d-5338-4194-bf4f-710acaf65af0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689da1e-47fb-4a67-baf9-bea582b18181}" ma:internalName="TaxCatchAll" ma:showField="CatchAllData" ma:web="9c4b210d-5338-4194-bf4f-710acaf65a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80F897-6FC7-4639-A683-79B68AF7B874}"/>
</file>

<file path=customXml/itemProps2.xml><?xml version="1.0" encoding="utf-8"?>
<ds:datastoreItem xmlns:ds="http://schemas.openxmlformats.org/officeDocument/2006/customXml" ds:itemID="{809D44C5-0653-4600-972D-9F57D7ADAF0A}"/>
</file>

<file path=customXml/itemProps3.xml><?xml version="1.0" encoding="utf-8"?>
<ds:datastoreItem xmlns:ds="http://schemas.openxmlformats.org/officeDocument/2006/customXml" ds:itemID="{F69509D1-DFFF-41D4-9CA0-AEE77BD8B5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10</cp:revision>
  <dcterms:created xsi:type="dcterms:W3CDTF">2015-06-05T18:19:34Z</dcterms:created>
  <dcterms:modified xsi:type="dcterms:W3CDTF">2026-05-13T08:04:47Z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ActionId">
    <vt:lpwstr>fe26022e-ccef-4e21-8bba-05105934811d</vt:lpwstr>
  </property>
  <property fmtid="{D5CDD505-2E9C-101B-9397-08002B2CF9AE}" pid="3" name="MSIP_Label_10d9bad3-6dac-4e9a-89a3-89f3b8d247b2_ContentBits">
    <vt:lpwstr>0</vt:lpwstr>
  </property>
  <property fmtid="{D5CDD505-2E9C-101B-9397-08002B2CF9AE}" pid="4" name="MSIP_Label_10d9bad3-6dac-4e9a-89a3-89f3b8d247b2_Enabled">
    <vt:lpwstr>true</vt:lpwstr>
  </property>
  <property fmtid="{D5CDD505-2E9C-101B-9397-08002B2CF9AE}" pid="5" name="MSIP_Label_10d9bad3-6dac-4e9a-89a3-89f3b8d247b2_Method">
    <vt:lpwstr>Standard</vt:lpwstr>
  </property>
  <property fmtid="{D5CDD505-2E9C-101B-9397-08002B2CF9AE}" pid="6" name="MSIP_Label_10d9bad3-6dac-4e9a-89a3-89f3b8d247b2_Name">
    <vt:lpwstr>10d9bad3-6dac-4e9a-89a3-89f3b8d247b2</vt:lpwstr>
  </property>
  <property fmtid="{D5CDD505-2E9C-101B-9397-08002B2CF9AE}" pid="7" name="MSIP_Label_10d9bad3-6dac-4e9a-89a3-89f3b8d247b2_SetDate">
    <vt:lpwstr>2024-04-17T09:10:17Z</vt:lpwstr>
  </property>
  <property fmtid="{D5CDD505-2E9C-101B-9397-08002B2CF9AE}" pid="8" name="MSIP_Label_10d9bad3-6dac-4e9a-89a3-89f3b8d247b2_SiteId">
    <vt:lpwstr>5d1a9f9d-201f-4a10-b983-451cf65cbc1e</vt:lpwstr>
  </property>
  <property fmtid="{D5CDD505-2E9C-101B-9397-08002B2CF9AE}" pid="9" name="ContentTypeId">
    <vt:lpwstr>0x010100353183FDDDFFD84F94C9B78C3742B3CA</vt:lpwstr>
  </property>
  <property fmtid="{D5CDD505-2E9C-101B-9397-08002B2CF9AE}" pid="10" name="MediaServiceImageTags">
    <vt:lpwstr/>
  </property>
</Properties>
</file>